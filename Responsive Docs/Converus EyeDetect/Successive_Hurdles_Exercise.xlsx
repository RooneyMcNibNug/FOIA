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cbookair-rw/Desktop/MINDEF/April/"/>
    </mc:Choice>
  </mc:AlternateContent>
  <xr:revisionPtr revIDLastSave="0" documentId="13_ncr:1_{7B4CF879-0AB6-A34E-8692-0FABBC1428D4}" xr6:coauthVersionLast="34" xr6:coauthVersionMax="34" xr10:uidLastSave="{00000000-0000-0000-0000-000000000000}"/>
  <bookViews>
    <workbookView xWindow="440" yWindow="480" windowWidth="27020" windowHeight="16820" tabRatio="500" xr2:uid="{00000000-000D-0000-FFFF-FFFF00000000}"/>
  </bookViews>
  <sheets>
    <sheet name="ODT" sheetId="1" r:id="rId1"/>
    <sheet name="BRG" sheetId="3" r:id="rId2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1" l="1"/>
  <c r="D15" i="1"/>
  <c r="D16" i="1" s="1"/>
  <c r="D17" i="1" s="1"/>
  <c r="D8" i="3"/>
  <c r="D12" i="3"/>
  <c r="O14" i="1"/>
  <c r="O15" i="1"/>
  <c r="M14" i="1"/>
  <c r="M15" i="1"/>
  <c r="F14" i="1"/>
  <c r="F15" i="1"/>
  <c r="R8" i="1"/>
  <c r="R7" i="1"/>
  <c r="R5" i="1"/>
  <c r="R4" i="1"/>
  <c r="I8" i="1"/>
  <c r="I7" i="1"/>
  <c r="I5" i="1"/>
  <c r="I4" i="1"/>
  <c r="I15" i="1" l="1"/>
  <c r="M16" i="1"/>
  <c r="M17" i="1" s="1"/>
  <c r="R15" i="1"/>
  <c r="I14" i="1"/>
  <c r="R14" i="1"/>
  <c r="O16" i="1"/>
  <c r="M19" i="1" s="1"/>
  <c r="F16" i="1"/>
  <c r="F17" i="1" s="1"/>
  <c r="R16" i="1"/>
  <c r="D19" i="1"/>
  <c r="I16" i="1" l="1"/>
  <c r="O17" i="1"/>
  <c r="M23" i="1" s="1"/>
  <c r="D22" i="1"/>
  <c r="F23" i="1"/>
  <c r="D23" i="1"/>
  <c r="F22" i="1"/>
  <c r="O23" i="1"/>
  <c r="O22" i="1"/>
  <c r="O24" i="1" s="1"/>
  <c r="R23" i="1" l="1"/>
  <c r="M22" i="1"/>
  <c r="M24" i="1" s="1"/>
  <c r="R24" i="1" s="1"/>
  <c r="I23" i="1"/>
  <c r="F24" i="1"/>
  <c r="F25" i="1" s="1"/>
  <c r="O25" i="1"/>
  <c r="I22" i="1"/>
  <c r="D24" i="1"/>
  <c r="I24" i="1" l="1"/>
  <c r="R22" i="1"/>
  <c r="M25" i="1"/>
  <c r="D25" i="1"/>
</calcChain>
</file>

<file path=xl/sharedStrings.xml><?xml version="1.0" encoding="utf-8"?>
<sst xmlns="http://schemas.openxmlformats.org/spreadsheetml/2006/main" count="119" uniqueCount="34">
  <si>
    <t>EyeDetect</t>
  </si>
  <si>
    <t>Check</t>
  </si>
  <si>
    <t>Polygraph</t>
  </si>
  <si>
    <t>Hurdle 1</t>
  </si>
  <si>
    <t>Hurdle 2</t>
  </si>
  <si>
    <t>Total</t>
  </si>
  <si>
    <t>Data</t>
  </si>
  <si>
    <t>Applicants</t>
  </si>
  <si>
    <t>Accuracy</t>
  </si>
  <si>
    <t>innocent</t>
  </si>
  <si>
    <t>guilty</t>
  </si>
  <si>
    <t>Base Rate</t>
  </si>
  <si>
    <t>Outcome Confidence</t>
  </si>
  <si>
    <t>Failed</t>
  </si>
  <si>
    <t>Passed</t>
  </si>
  <si>
    <t>TN</t>
  </si>
  <si>
    <t>FN</t>
  </si>
  <si>
    <t>FP</t>
  </si>
  <si>
    <t>TP</t>
  </si>
  <si>
    <t>NPV</t>
  </si>
  <si>
    <t>PPV</t>
  </si>
  <si>
    <t>Applicants that passed EyeDetect</t>
  </si>
  <si>
    <t>Applicants that failed EyeDetect</t>
  </si>
  <si>
    <r>
      <t xml:space="preserve">Scenario 1 - </t>
    </r>
    <r>
      <rPr>
        <b/>
        <sz val="14"/>
        <color theme="0"/>
        <rFont val="Calibri"/>
        <scheme val="minor"/>
      </rPr>
      <t>pass EyeDetect,</t>
    </r>
    <r>
      <rPr>
        <sz val="14"/>
        <color theme="0"/>
        <rFont val="Calibri"/>
        <scheme val="minor"/>
      </rPr>
      <t xml:space="preserve"> test with polygraph</t>
    </r>
  </si>
  <si>
    <r>
      <t xml:space="preserve">Scenario 2 - </t>
    </r>
    <r>
      <rPr>
        <b/>
        <sz val="14"/>
        <color theme="0"/>
        <rFont val="Calibri"/>
        <scheme val="minor"/>
      </rPr>
      <t>fail EyeDetect</t>
    </r>
    <r>
      <rPr>
        <sz val="14"/>
        <color theme="0"/>
        <rFont val="Calibri"/>
        <scheme val="minor"/>
      </rPr>
      <t>, test with polygraph</t>
    </r>
  </si>
  <si>
    <t>Fail Rate = (TP) (BRG) + (FP) (BRI)</t>
  </si>
  <si>
    <t xml:space="preserve">Base Rate of Guilt = </t>
  </si>
  <si>
    <t>Given historical failure rate</t>
  </si>
  <si>
    <t xml:space="preserve">Failure rate = </t>
  </si>
  <si>
    <t>Given Base Rate of Guilt</t>
  </si>
  <si>
    <t>Input</t>
  </si>
  <si>
    <t>Calc</t>
  </si>
  <si>
    <t>BRG = (FR - FP) / (TP - FP)</t>
  </si>
  <si>
    <t>Polygraph (DLST/ESS)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</si>
</sst>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scheme val="minor"/>
    </font>
    <font>
      <sz val="14"/>
      <color theme="0"/>
      <name val="Calibri"/>
      <scheme val="minor"/>
    </font>
    <font>
      <b/>
      <sz val="14"/>
      <color theme="0"/>
      <name val="Calibri"/>
      <scheme val="minor"/>
    </font>
    <font>
      <b/>
      <sz val="11"/>
      <color theme="1"/>
      <name val="Calibri"/>
      <scheme val="minor"/>
    </font>
    <font>
      <b/>
      <sz val="9"/>
      <color theme="0"/>
      <name val="Calibri"/>
      <scheme val="minor"/>
    </font>
    <font>
      <b/>
      <sz val="9"/>
      <color theme="1"/>
      <name val="Calibri"/>
      <scheme val="minor"/>
    </font>
    <font>
      <sz val="9"/>
      <color theme="1"/>
      <name val="Calibri"/>
      <scheme val="minor"/>
    </font>
    <font>
      <b/>
      <sz val="8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8"/>
      <color theme="1"/>
      <name val="Calibri"/>
      <scheme val="minor"/>
    </font>
    <font>
      <b/>
      <sz val="10"/>
      <color theme="1"/>
      <name val="Calibri"/>
      <scheme val="minor"/>
    </font>
    <font>
      <b/>
      <sz val="9"/>
      <name val="Calibri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4" fillId="0" borderId="0" xfId="0" applyFont="1"/>
    <xf numFmtId="0" fontId="7" fillId="2" borderId="0" xfId="0" applyFont="1" applyFill="1"/>
    <xf numFmtId="0" fontId="9" fillId="0" borderId="1" xfId="0" applyFont="1" applyBorder="1"/>
    <xf numFmtId="0" fontId="10" fillId="2" borderId="0" xfId="0" applyFont="1" applyFill="1" applyBorder="1" applyAlignment="1">
      <alignment wrapText="1"/>
    </xf>
    <xf numFmtId="0" fontId="11" fillId="0" borderId="1" xfId="0" applyFont="1" applyBorder="1" applyAlignment="1">
      <alignment horizontal="center"/>
    </xf>
    <xf numFmtId="0" fontId="12" fillId="2" borderId="0" xfId="0" applyFont="1" applyFill="1" applyBorder="1" applyAlignment="1">
      <alignment wrapText="1"/>
    </xf>
    <xf numFmtId="0" fontId="7" fillId="0" borderId="0" xfId="0" applyFont="1"/>
    <xf numFmtId="0" fontId="13" fillId="2" borderId="0" xfId="0" applyFont="1" applyFill="1"/>
    <xf numFmtId="0" fontId="10" fillId="2" borderId="0" xfId="0" applyFont="1" applyFill="1" applyBorder="1"/>
    <xf numFmtId="0" fontId="14" fillId="0" borderId="1" xfId="0" applyFont="1" applyBorder="1" applyAlignment="1">
      <alignment horizontal="center"/>
    </xf>
    <xf numFmtId="0" fontId="12" fillId="2" borderId="0" xfId="0" applyFont="1" applyFill="1" applyBorder="1"/>
    <xf numFmtId="0" fontId="13" fillId="0" borderId="0" xfId="0" applyFont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10" fillId="2" borderId="0" xfId="0" applyFont="1" applyFill="1"/>
    <xf numFmtId="0" fontId="14" fillId="0" borderId="0" xfId="0" applyFont="1" applyAlignment="1">
      <alignment horizontal="center"/>
    </xf>
    <xf numFmtId="0" fontId="12" fillId="2" borderId="0" xfId="0" applyFont="1" applyFill="1"/>
    <xf numFmtId="0" fontId="9" fillId="2" borderId="0" xfId="0" applyFont="1" applyFill="1"/>
    <xf numFmtId="0" fontId="14" fillId="2" borderId="0" xfId="0" applyFont="1" applyFill="1" applyAlignment="1">
      <alignment horizontal="center"/>
    </xf>
    <xf numFmtId="0" fontId="9" fillId="0" borderId="1" xfId="0" applyFont="1" applyFill="1" applyBorder="1" applyAlignment="1">
      <alignment horizontal="right"/>
    </xf>
    <xf numFmtId="0" fontId="11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3" fontId="11" fillId="0" borderId="1" xfId="0" applyNumberFormat="1" applyFont="1" applyFill="1" applyBorder="1" applyAlignment="1">
      <alignment horizontal="center"/>
    </xf>
    <xf numFmtId="0" fontId="15" fillId="2" borderId="0" xfId="0" applyFont="1" applyFill="1"/>
    <xf numFmtId="3" fontId="11" fillId="0" borderId="1" xfId="0" applyNumberFormat="1" applyFont="1" applyBorder="1" applyAlignment="1">
      <alignment horizontal="center"/>
    </xf>
    <xf numFmtId="164" fontId="9" fillId="6" borderId="1" xfId="3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9" fillId="0" borderId="1" xfId="3" applyNumberFormat="1" applyFont="1" applyFill="1" applyBorder="1" applyAlignment="1">
      <alignment horizontal="center"/>
    </xf>
    <xf numFmtId="164" fontId="9" fillId="0" borderId="1" xfId="3" applyNumberFormat="1" applyFont="1" applyFill="1" applyBorder="1" applyAlignment="1">
      <alignment horizontal="center"/>
    </xf>
    <xf numFmtId="2" fontId="9" fillId="6" borderId="1" xfId="3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6" borderId="1" xfId="0" applyFont="1" applyFill="1" applyBorder="1" applyAlignment="1">
      <alignment horizontal="right"/>
    </xf>
    <xf numFmtId="0" fontId="13" fillId="0" borderId="0" xfId="0" applyFont="1" applyFill="1"/>
    <xf numFmtId="1" fontId="10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Fill="1" applyBorder="1"/>
    <xf numFmtId="2" fontId="0" fillId="0" borderId="0" xfId="0" applyNumberFormat="1" applyFont="1"/>
    <xf numFmtId="0" fontId="0" fillId="0" borderId="0" xfId="0" applyFont="1" applyFill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vertical="center" wrapText="1"/>
    </xf>
    <xf numFmtId="2" fontId="0" fillId="6" borderId="0" xfId="0" applyNumberFormat="1" applyFont="1" applyFill="1"/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3" borderId="2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 wrapText="1"/>
    </xf>
    <xf numFmtId="3" fontId="9" fillId="0" borderId="1" xfId="0" applyNumberFormat="1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8" fillId="4" borderId="2" xfId="0" applyFont="1" applyFill="1" applyBorder="1" applyAlignment="1">
      <alignment horizontal="left" wrapText="1"/>
    </xf>
    <xf numFmtId="0" fontId="8" fillId="4" borderId="4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9" fontId="9" fillId="6" borderId="1" xfId="3" applyFont="1" applyFill="1" applyBorder="1" applyAlignment="1">
      <alignment horizontal="center" wrapText="1"/>
    </xf>
    <xf numFmtId="9" fontId="10" fillId="6" borderId="1" xfId="3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wrapText="1"/>
    </xf>
    <xf numFmtId="0" fontId="17" fillId="4" borderId="4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left" wrapText="1"/>
    </xf>
  </cellXfs>
  <cellStyles count="122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zoomScale="170" zoomScaleNormal="170" zoomScalePageLayoutView="189" workbookViewId="0">
      <selection activeCell="D9" sqref="D9:E9"/>
    </sheetView>
  </sheetViews>
  <sheetFormatPr baseColWidth="10" defaultRowHeight="15" x14ac:dyDescent="0.2"/>
  <cols>
    <col min="1" max="1" width="2.1640625" style="15" customWidth="1"/>
    <col min="2" max="2" width="7.5" style="15" bestFit="1" customWidth="1"/>
    <col min="3" max="3" width="24.1640625" style="15" bestFit="1" customWidth="1"/>
    <col min="4" max="4" width="5.5" style="15" customWidth="1"/>
    <col min="5" max="5" width="4" style="15" bestFit="1" customWidth="1"/>
    <col min="6" max="6" width="5.1640625" style="15" customWidth="1"/>
    <col min="7" max="7" width="3.83203125" style="15" bestFit="1" customWidth="1"/>
    <col min="8" max="8" width="0.6640625" style="15" customWidth="1"/>
    <col min="9" max="9" width="5.1640625" style="21" bestFit="1" customWidth="1"/>
    <col min="10" max="10" width="2.6640625" style="15" customWidth="1"/>
    <col min="11" max="11" width="8.1640625" style="15" bestFit="1" customWidth="1"/>
    <col min="12" max="12" width="23.33203125" style="15" bestFit="1" customWidth="1"/>
    <col min="13" max="13" width="5.33203125" style="15" customWidth="1"/>
    <col min="14" max="14" width="4" style="15" bestFit="1" customWidth="1"/>
    <col min="15" max="15" width="5.1640625" style="15" customWidth="1"/>
    <col min="16" max="16" width="4.83203125" style="15" customWidth="1"/>
    <col min="17" max="17" width="0.83203125" style="15" customWidth="1"/>
    <col min="18" max="18" width="5.1640625" style="21" bestFit="1" customWidth="1"/>
    <col min="19" max="19" width="3" style="15" customWidth="1"/>
    <col min="20" max="16384" width="10.83203125" style="15"/>
  </cols>
  <sheetData>
    <row r="1" spans="1:20" s="4" customFormat="1" ht="21" x14ac:dyDescent="0.25">
      <c r="A1" s="1"/>
      <c r="B1" s="2" t="s">
        <v>23</v>
      </c>
      <c r="C1" s="1"/>
      <c r="D1" s="1"/>
      <c r="E1" s="1"/>
      <c r="F1" s="1"/>
      <c r="G1" s="1"/>
      <c r="H1" s="1"/>
      <c r="I1" s="3"/>
      <c r="J1" s="1"/>
      <c r="K1" s="2" t="s">
        <v>24</v>
      </c>
      <c r="L1" s="1"/>
      <c r="M1" s="1"/>
      <c r="N1" s="1"/>
      <c r="O1" s="1"/>
      <c r="P1" s="1"/>
      <c r="Q1" s="1"/>
      <c r="R1" s="3"/>
      <c r="S1" s="1"/>
      <c r="T1" s="1"/>
    </row>
    <row r="2" spans="1:20" s="10" customFormat="1" ht="14" customHeight="1" x14ac:dyDescent="0.2">
      <c r="A2" s="5"/>
      <c r="B2" s="83" t="s">
        <v>6</v>
      </c>
      <c r="C2" s="6" t="s">
        <v>8</v>
      </c>
      <c r="D2" s="76"/>
      <c r="E2" s="77"/>
      <c r="F2" s="76"/>
      <c r="G2" s="77"/>
      <c r="H2" s="7"/>
      <c r="I2" s="8" t="s">
        <v>1</v>
      </c>
      <c r="J2" s="5"/>
      <c r="K2" s="83" t="s">
        <v>6</v>
      </c>
      <c r="L2" s="6" t="s">
        <v>8</v>
      </c>
      <c r="M2" s="76"/>
      <c r="N2" s="77"/>
      <c r="O2" s="76"/>
      <c r="P2" s="77"/>
      <c r="Q2" s="9"/>
      <c r="R2" s="8" t="s">
        <v>1</v>
      </c>
      <c r="S2" s="5"/>
      <c r="T2" s="5"/>
    </row>
    <row r="3" spans="1:20" ht="14" customHeight="1" x14ac:dyDescent="0.2">
      <c r="A3" s="11"/>
      <c r="B3" s="83"/>
      <c r="C3" s="78" t="s">
        <v>0</v>
      </c>
      <c r="D3" s="79"/>
      <c r="E3" s="79"/>
      <c r="F3" s="79"/>
      <c r="G3" s="80"/>
      <c r="H3" s="12"/>
      <c r="I3" s="13"/>
      <c r="J3" s="11"/>
      <c r="K3" s="83"/>
      <c r="L3" s="78" t="s">
        <v>0</v>
      </c>
      <c r="M3" s="79"/>
      <c r="N3" s="79"/>
      <c r="O3" s="79"/>
      <c r="P3" s="80"/>
      <c r="Q3" s="14"/>
      <c r="R3" s="13"/>
      <c r="S3" s="11"/>
      <c r="T3" s="11"/>
    </row>
    <row r="4" spans="1:20" ht="14" customHeight="1" x14ac:dyDescent="0.2">
      <c r="A4" s="11"/>
      <c r="B4" s="83"/>
      <c r="C4" s="16" t="s">
        <v>9</v>
      </c>
      <c r="D4" s="17">
        <v>0.89</v>
      </c>
      <c r="E4" s="16" t="s">
        <v>15</v>
      </c>
      <c r="F4" s="16">
        <v>0.11</v>
      </c>
      <c r="G4" s="16" t="s">
        <v>17</v>
      </c>
      <c r="H4" s="12"/>
      <c r="I4" s="18">
        <f>F4+D4</f>
        <v>1</v>
      </c>
      <c r="J4" s="11"/>
      <c r="K4" s="83"/>
      <c r="L4" s="16" t="s">
        <v>9</v>
      </c>
      <c r="M4" s="17">
        <v>0.89</v>
      </c>
      <c r="N4" s="16" t="s">
        <v>15</v>
      </c>
      <c r="O4" s="16">
        <v>0.11</v>
      </c>
      <c r="P4" s="16" t="s">
        <v>17</v>
      </c>
      <c r="Q4" s="14"/>
      <c r="R4" s="18">
        <f>O4+M4</f>
        <v>1</v>
      </c>
      <c r="S4" s="11"/>
      <c r="T4" s="11"/>
    </row>
    <row r="5" spans="1:20" ht="14" customHeight="1" x14ac:dyDescent="0.2">
      <c r="A5" s="11"/>
      <c r="B5" s="83"/>
      <c r="C5" s="16" t="s">
        <v>10</v>
      </c>
      <c r="D5" s="16">
        <v>0.17</v>
      </c>
      <c r="E5" s="16" t="s">
        <v>16</v>
      </c>
      <c r="F5" s="16">
        <v>0.83</v>
      </c>
      <c r="G5" s="16" t="s">
        <v>18</v>
      </c>
      <c r="H5" s="12"/>
      <c r="I5" s="18">
        <f>F5+D5</f>
        <v>1</v>
      </c>
      <c r="J5" s="11"/>
      <c r="K5" s="83"/>
      <c r="L5" s="16" t="s">
        <v>10</v>
      </c>
      <c r="M5" s="16">
        <v>0.17</v>
      </c>
      <c r="N5" s="16" t="s">
        <v>16</v>
      </c>
      <c r="O5" s="16">
        <v>0.83</v>
      </c>
      <c r="P5" s="16" t="s">
        <v>18</v>
      </c>
      <c r="Q5" s="14"/>
      <c r="R5" s="18">
        <f>O5+M5</f>
        <v>1</v>
      </c>
      <c r="S5" s="11"/>
      <c r="T5" s="11"/>
    </row>
    <row r="6" spans="1:20" ht="14" customHeight="1" x14ac:dyDescent="0.2">
      <c r="A6" s="11"/>
      <c r="B6" s="83"/>
      <c r="C6" s="78" t="s">
        <v>33</v>
      </c>
      <c r="D6" s="79"/>
      <c r="E6" s="79"/>
      <c r="F6" s="79"/>
      <c r="G6" s="80"/>
      <c r="H6" s="12"/>
      <c r="I6" s="13"/>
      <c r="J6" s="11"/>
      <c r="K6" s="83"/>
      <c r="L6" s="78" t="s">
        <v>33</v>
      </c>
      <c r="M6" s="79"/>
      <c r="N6" s="79"/>
      <c r="O6" s="79"/>
      <c r="P6" s="80"/>
      <c r="Q6" s="14"/>
      <c r="R6" s="13"/>
      <c r="S6" s="11"/>
      <c r="T6" s="11"/>
    </row>
    <row r="7" spans="1:20" ht="14" customHeight="1" x14ac:dyDescent="0.2">
      <c r="A7" s="11"/>
      <c r="B7" s="83"/>
      <c r="C7" s="16" t="s">
        <v>9</v>
      </c>
      <c r="D7" s="16">
        <v>0.75</v>
      </c>
      <c r="E7" s="16" t="s">
        <v>15</v>
      </c>
      <c r="F7" s="16">
        <v>0.15</v>
      </c>
      <c r="G7" s="16" t="s">
        <v>17</v>
      </c>
      <c r="H7" s="12"/>
      <c r="I7" s="18">
        <f>F7+D7</f>
        <v>0.9</v>
      </c>
      <c r="J7" s="11"/>
      <c r="K7" s="83"/>
      <c r="L7" s="16" t="s">
        <v>9</v>
      </c>
      <c r="M7" s="16">
        <v>0.75</v>
      </c>
      <c r="N7" s="16" t="s">
        <v>15</v>
      </c>
      <c r="O7" s="16">
        <v>0.15</v>
      </c>
      <c r="P7" s="16" t="s">
        <v>17</v>
      </c>
      <c r="Q7" s="14"/>
      <c r="R7" s="18">
        <f>O7+M7</f>
        <v>0.9</v>
      </c>
      <c r="S7" s="11"/>
      <c r="T7" s="11"/>
    </row>
    <row r="8" spans="1:20" ht="14" customHeight="1" x14ac:dyDescent="0.2">
      <c r="A8" s="11"/>
      <c r="B8" s="83"/>
      <c r="C8" s="16" t="s">
        <v>10</v>
      </c>
      <c r="D8" s="16">
        <v>0.11</v>
      </c>
      <c r="E8" s="16" t="s">
        <v>16</v>
      </c>
      <c r="F8" s="16">
        <v>0.81</v>
      </c>
      <c r="G8" s="16" t="s">
        <v>18</v>
      </c>
      <c r="H8" s="12"/>
      <c r="I8" s="18">
        <f>F8+D8</f>
        <v>0.92</v>
      </c>
      <c r="J8" s="11"/>
      <c r="K8" s="83"/>
      <c r="L8" s="16" t="s">
        <v>10</v>
      </c>
      <c r="M8" s="16">
        <v>0.11</v>
      </c>
      <c r="N8" s="16" t="s">
        <v>16</v>
      </c>
      <c r="O8" s="16">
        <v>0.81</v>
      </c>
      <c r="P8" s="16" t="s">
        <v>18</v>
      </c>
      <c r="Q8" s="14"/>
      <c r="R8" s="18">
        <f>O8+M8</f>
        <v>0.92</v>
      </c>
      <c r="S8" s="11"/>
      <c r="T8" s="11"/>
    </row>
    <row r="9" spans="1:20" ht="14" customHeight="1" x14ac:dyDescent="0.2">
      <c r="A9" s="11"/>
      <c r="B9" s="6"/>
      <c r="C9" s="19" t="s">
        <v>11</v>
      </c>
      <c r="D9" s="81">
        <v>0.3</v>
      </c>
      <c r="E9" s="82"/>
      <c r="F9" s="76"/>
      <c r="G9" s="77"/>
      <c r="H9" s="20"/>
      <c r="J9" s="11"/>
      <c r="K9" s="6"/>
      <c r="L9" s="19" t="s">
        <v>11</v>
      </c>
      <c r="M9" s="81">
        <v>0.65</v>
      </c>
      <c r="N9" s="82"/>
      <c r="O9" s="76"/>
      <c r="P9" s="77"/>
      <c r="Q9" s="22"/>
      <c r="S9" s="11"/>
      <c r="T9" s="11"/>
    </row>
    <row r="10" spans="1:20" ht="4" customHeight="1" x14ac:dyDescent="0.2">
      <c r="A10" s="11"/>
      <c r="B10" s="23"/>
      <c r="C10" s="20"/>
      <c r="D10" s="20"/>
      <c r="E10" s="20"/>
      <c r="F10" s="20"/>
      <c r="G10" s="20"/>
      <c r="H10" s="20"/>
      <c r="I10" s="24"/>
      <c r="J10" s="11"/>
      <c r="K10" s="23"/>
      <c r="L10" s="20"/>
      <c r="M10" s="20">
        <v>0.5</v>
      </c>
      <c r="N10" s="20"/>
      <c r="O10" s="20"/>
      <c r="P10" s="20"/>
      <c r="Q10" s="22"/>
      <c r="R10" s="24"/>
      <c r="S10" s="11"/>
      <c r="T10" s="11"/>
    </row>
    <row r="11" spans="1:20" ht="14" customHeight="1" x14ac:dyDescent="0.2">
      <c r="A11" s="11"/>
      <c r="B11" s="60" t="s">
        <v>3</v>
      </c>
      <c r="C11" s="25" t="s">
        <v>7</v>
      </c>
      <c r="D11" s="72">
        <v>1000</v>
      </c>
      <c r="E11" s="73"/>
      <c r="F11" s="74"/>
      <c r="G11" s="75"/>
      <c r="H11" s="20"/>
      <c r="I11" s="26" t="s">
        <v>1</v>
      </c>
      <c r="J11" s="11"/>
      <c r="K11" s="60" t="s">
        <v>3</v>
      </c>
      <c r="L11" s="25" t="s">
        <v>7</v>
      </c>
      <c r="M11" s="72">
        <v>100</v>
      </c>
      <c r="N11" s="73"/>
      <c r="O11" s="74"/>
      <c r="P11" s="75"/>
      <c r="Q11" s="22"/>
      <c r="R11" s="8" t="s">
        <v>1</v>
      </c>
      <c r="S11" s="11"/>
      <c r="T11" s="11"/>
    </row>
    <row r="12" spans="1:20" ht="14" customHeight="1" x14ac:dyDescent="0.2">
      <c r="A12" s="11"/>
      <c r="B12" s="61"/>
      <c r="C12" s="67" t="s">
        <v>0</v>
      </c>
      <c r="D12" s="68"/>
      <c r="E12" s="68"/>
      <c r="F12" s="68"/>
      <c r="G12" s="69"/>
      <c r="H12" s="20"/>
      <c r="I12" s="27"/>
      <c r="J12" s="11"/>
      <c r="K12" s="61"/>
      <c r="L12" s="67" t="s">
        <v>0</v>
      </c>
      <c r="M12" s="68"/>
      <c r="N12" s="68"/>
      <c r="O12" s="68"/>
      <c r="P12" s="69"/>
      <c r="Q12" s="22"/>
      <c r="R12" s="13"/>
      <c r="S12" s="11"/>
      <c r="T12" s="11"/>
    </row>
    <row r="13" spans="1:20" ht="14" customHeight="1" x14ac:dyDescent="0.2">
      <c r="A13" s="11"/>
      <c r="B13" s="61"/>
      <c r="C13" s="28"/>
      <c r="D13" s="70" t="s">
        <v>14</v>
      </c>
      <c r="E13" s="71"/>
      <c r="F13" s="70" t="s">
        <v>13</v>
      </c>
      <c r="G13" s="71"/>
      <c r="H13" s="20"/>
      <c r="I13" s="27"/>
      <c r="J13" s="11"/>
      <c r="K13" s="61"/>
      <c r="L13" s="28"/>
      <c r="M13" s="70" t="s">
        <v>14</v>
      </c>
      <c r="N13" s="71"/>
      <c r="O13" s="70" t="s">
        <v>13</v>
      </c>
      <c r="P13" s="71"/>
      <c r="Q13" s="22"/>
      <c r="R13" s="13"/>
      <c r="S13" s="11"/>
      <c r="T13" s="11"/>
    </row>
    <row r="14" spans="1:20" ht="14" customHeight="1" x14ac:dyDescent="0.2">
      <c r="A14" s="11"/>
      <c r="B14" s="61"/>
      <c r="C14" s="29" t="s">
        <v>9</v>
      </c>
      <c r="D14" s="30">
        <f>D11*D4*(1-D9)</f>
        <v>623</v>
      </c>
      <c r="E14" s="31" t="s">
        <v>15</v>
      </c>
      <c r="F14" s="31">
        <f>D11*F4*(1-D9)</f>
        <v>77</v>
      </c>
      <c r="G14" s="29" t="s">
        <v>17</v>
      </c>
      <c r="H14" s="20"/>
      <c r="I14" s="49">
        <f>SUM(D14:G14)</f>
        <v>700</v>
      </c>
      <c r="J14" s="11"/>
      <c r="K14" s="61"/>
      <c r="L14" s="29" t="s">
        <v>9</v>
      </c>
      <c r="M14" s="30">
        <f>M11*M4*(1-M9)</f>
        <v>31.15</v>
      </c>
      <c r="N14" s="31" t="s">
        <v>15</v>
      </c>
      <c r="O14" s="31">
        <f>M11*O4*(1-M9)</f>
        <v>3.8499999999999996</v>
      </c>
      <c r="P14" s="29" t="s">
        <v>17</v>
      </c>
      <c r="Q14" s="22"/>
      <c r="R14" s="45">
        <f>SUM(M14:P14)</f>
        <v>35</v>
      </c>
      <c r="S14" s="11"/>
      <c r="T14" s="11"/>
    </row>
    <row r="15" spans="1:20" ht="14" customHeight="1" x14ac:dyDescent="0.2">
      <c r="A15" s="11"/>
      <c r="B15" s="61"/>
      <c r="C15" s="29" t="s">
        <v>10</v>
      </c>
      <c r="D15" s="30">
        <f>D11*D5*(D9)</f>
        <v>51</v>
      </c>
      <c r="E15" s="31" t="s">
        <v>16</v>
      </c>
      <c r="F15" s="31">
        <f>D11*F5*(D9)</f>
        <v>249</v>
      </c>
      <c r="G15" s="29" t="s">
        <v>18</v>
      </c>
      <c r="H15" s="20"/>
      <c r="I15" s="27">
        <f>SUM(D15:G15)</f>
        <v>300</v>
      </c>
      <c r="J15" s="11"/>
      <c r="K15" s="61"/>
      <c r="L15" s="29" t="s">
        <v>10</v>
      </c>
      <c r="M15" s="30">
        <f>M11*M5*(M9)</f>
        <v>11.05</v>
      </c>
      <c r="N15" s="31" t="s">
        <v>16</v>
      </c>
      <c r="O15" s="31">
        <f>M11*O5*(M9)</f>
        <v>53.95</v>
      </c>
      <c r="P15" s="29" t="s">
        <v>18</v>
      </c>
      <c r="Q15" s="22"/>
      <c r="R15" s="13">
        <f>SUM(M15:P15)</f>
        <v>65</v>
      </c>
      <c r="S15" s="11"/>
      <c r="T15" s="11"/>
    </row>
    <row r="16" spans="1:20" s="10" customFormat="1" ht="14" customHeight="1" x14ac:dyDescent="0.2">
      <c r="A16" s="5"/>
      <c r="B16" s="61"/>
      <c r="C16" s="25" t="s">
        <v>5</v>
      </c>
      <c r="D16" s="30">
        <f>SUM(D14:D15)</f>
        <v>674</v>
      </c>
      <c r="E16" s="30"/>
      <c r="F16" s="30">
        <f>SUM(F14:F15)</f>
        <v>326</v>
      </c>
      <c r="G16" s="32"/>
      <c r="H16" s="23"/>
      <c r="I16" s="33">
        <f>SUM(D16:G16)</f>
        <v>1000</v>
      </c>
      <c r="J16" s="5"/>
      <c r="K16" s="61"/>
      <c r="L16" s="25" t="s">
        <v>5</v>
      </c>
      <c r="M16" s="30">
        <f>SUM(M14:M15)</f>
        <v>42.2</v>
      </c>
      <c r="N16" s="30"/>
      <c r="O16" s="30">
        <f>SUM(O14:O15)</f>
        <v>57.800000000000004</v>
      </c>
      <c r="P16" s="32"/>
      <c r="Q16" s="34"/>
      <c r="R16" s="35">
        <f>SUM(M16:P16)</f>
        <v>100</v>
      </c>
      <c r="S16" s="5"/>
      <c r="T16" s="5"/>
    </row>
    <row r="17" spans="1:20" s="10" customFormat="1" ht="14" customHeight="1" x14ac:dyDescent="0.2">
      <c r="A17" s="5"/>
      <c r="B17" s="62"/>
      <c r="C17" s="25" t="s">
        <v>12</v>
      </c>
      <c r="D17" s="36">
        <f>D14/D16</f>
        <v>0.92433234421364985</v>
      </c>
      <c r="E17" s="37" t="s">
        <v>19</v>
      </c>
      <c r="F17" s="38">
        <f>F15/F16</f>
        <v>0.76380368098159512</v>
      </c>
      <c r="G17" s="32" t="s">
        <v>20</v>
      </c>
      <c r="H17" s="23"/>
      <c r="I17" s="26"/>
      <c r="J17" s="5"/>
      <c r="K17" s="62"/>
      <c r="L17" s="25" t="s">
        <v>12</v>
      </c>
      <c r="M17" s="39">
        <f>M14/M16</f>
        <v>0.73815165876777245</v>
      </c>
      <c r="N17" s="37" t="s">
        <v>19</v>
      </c>
      <c r="O17" s="40">
        <f>O15/O16</f>
        <v>0.93339100346020765</v>
      </c>
      <c r="P17" s="32" t="s">
        <v>20</v>
      </c>
      <c r="Q17" s="34"/>
      <c r="R17" s="8"/>
      <c r="S17" s="5"/>
      <c r="T17" s="5"/>
    </row>
    <row r="18" spans="1:20" ht="5" customHeight="1" x14ac:dyDescent="0.2">
      <c r="A18" s="11"/>
      <c r="B18" s="23"/>
      <c r="C18" s="20"/>
      <c r="D18" s="20"/>
      <c r="E18" s="41"/>
      <c r="F18" s="41"/>
      <c r="G18" s="41"/>
      <c r="H18" s="20"/>
      <c r="I18" s="24"/>
      <c r="J18" s="11"/>
      <c r="K18" s="23"/>
      <c r="L18" s="20"/>
      <c r="M18" s="20"/>
      <c r="N18" s="41"/>
      <c r="O18" s="41"/>
      <c r="P18" s="41"/>
      <c r="Q18" s="22"/>
      <c r="R18" s="24"/>
      <c r="S18" s="11"/>
      <c r="T18" s="11"/>
    </row>
    <row r="19" spans="1:20" ht="14" customHeight="1" x14ac:dyDescent="0.2">
      <c r="A19" s="11"/>
      <c r="B19" s="60" t="s">
        <v>4</v>
      </c>
      <c r="C19" s="42" t="s">
        <v>21</v>
      </c>
      <c r="D19" s="63">
        <f>D16</f>
        <v>674</v>
      </c>
      <c r="E19" s="64"/>
      <c r="F19" s="65"/>
      <c r="G19" s="66"/>
      <c r="H19" s="20"/>
      <c r="I19" s="8" t="s">
        <v>1</v>
      </c>
      <c r="J19" s="11"/>
      <c r="K19" s="60" t="s">
        <v>4</v>
      </c>
      <c r="L19" s="42" t="s">
        <v>22</v>
      </c>
      <c r="M19" s="63">
        <f>O16</f>
        <v>57.800000000000004</v>
      </c>
      <c r="N19" s="64"/>
      <c r="O19" s="65"/>
      <c r="P19" s="66"/>
      <c r="Q19" s="22"/>
      <c r="R19" s="8" t="s">
        <v>1</v>
      </c>
      <c r="S19" s="11"/>
      <c r="T19" s="11"/>
    </row>
    <row r="20" spans="1:20" ht="14" customHeight="1" x14ac:dyDescent="0.2">
      <c r="A20" s="11"/>
      <c r="B20" s="61"/>
      <c r="C20" s="67" t="s">
        <v>2</v>
      </c>
      <c r="D20" s="68"/>
      <c r="E20" s="68"/>
      <c r="F20" s="68"/>
      <c r="G20" s="69"/>
      <c r="H20" s="20"/>
      <c r="I20" s="13"/>
      <c r="J20" s="11"/>
      <c r="K20" s="61"/>
      <c r="L20" s="67" t="s">
        <v>2</v>
      </c>
      <c r="M20" s="68"/>
      <c r="N20" s="68"/>
      <c r="O20" s="68"/>
      <c r="P20" s="69"/>
      <c r="Q20" s="22"/>
      <c r="R20" s="13"/>
      <c r="S20" s="11"/>
      <c r="T20" s="11"/>
    </row>
    <row r="21" spans="1:20" s="43" customFormat="1" ht="14" customHeight="1" x14ac:dyDescent="0.2">
      <c r="A21" s="11"/>
      <c r="B21" s="61"/>
      <c r="C21" s="28"/>
      <c r="D21" s="70" t="s">
        <v>14</v>
      </c>
      <c r="E21" s="71"/>
      <c r="F21" s="70" t="s">
        <v>13</v>
      </c>
      <c r="G21" s="71"/>
      <c r="H21" s="20"/>
      <c r="I21" s="27"/>
      <c r="J21" s="11"/>
      <c r="K21" s="61"/>
      <c r="L21" s="28"/>
      <c r="M21" s="70" t="s">
        <v>14</v>
      </c>
      <c r="N21" s="71"/>
      <c r="O21" s="70" t="s">
        <v>13</v>
      </c>
      <c r="P21" s="71"/>
      <c r="Q21" s="22"/>
      <c r="R21" s="27"/>
      <c r="S21" s="11"/>
      <c r="T21" s="11"/>
    </row>
    <row r="22" spans="1:20" ht="14" customHeight="1" x14ac:dyDescent="0.2">
      <c r="A22" s="11"/>
      <c r="B22" s="61"/>
      <c r="C22" s="16" t="s">
        <v>9</v>
      </c>
      <c r="D22" s="44">
        <f>D19*D7*(D17)</f>
        <v>467.25</v>
      </c>
      <c r="E22" s="44" t="s">
        <v>15</v>
      </c>
      <c r="F22" s="44">
        <f>D19*F7*(D17)</f>
        <v>93.449999999999989</v>
      </c>
      <c r="G22" s="16" t="s">
        <v>17</v>
      </c>
      <c r="H22" s="20"/>
      <c r="I22" s="45">
        <f>SUM(D22:G22)</f>
        <v>560.70000000000005</v>
      </c>
      <c r="J22" s="11"/>
      <c r="K22" s="61"/>
      <c r="L22" s="16" t="s">
        <v>9</v>
      </c>
      <c r="M22" s="31">
        <f>M19*M7*(1-O17)</f>
        <v>2.8874999999999984</v>
      </c>
      <c r="N22" s="31" t="s">
        <v>15</v>
      </c>
      <c r="O22" s="31">
        <f>M19*O7*(1-O17)</f>
        <v>0.57749999999999968</v>
      </c>
      <c r="P22" s="29" t="s">
        <v>17</v>
      </c>
      <c r="Q22" s="22"/>
      <c r="R22" s="45">
        <f>SUM(M22:P22)</f>
        <v>3.4649999999999981</v>
      </c>
      <c r="S22" s="11"/>
      <c r="T22" s="11"/>
    </row>
    <row r="23" spans="1:20" ht="14" customHeight="1" x14ac:dyDescent="0.2">
      <c r="A23" s="11"/>
      <c r="B23" s="61"/>
      <c r="C23" s="16" t="s">
        <v>10</v>
      </c>
      <c r="D23" s="31">
        <f>D19*D8*(1-D17)</f>
        <v>5.61</v>
      </c>
      <c r="E23" s="44" t="s">
        <v>16</v>
      </c>
      <c r="F23" s="31">
        <f>D19*F8*(1-D17)</f>
        <v>41.310000000000009</v>
      </c>
      <c r="G23" s="16" t="s">
        <v>18</v>
      </c>
      <c r="H23" s="20"/>
      <c r="I23" s="45">
        <f>SUM(D23:G23)</f>
        <v>46.920000000000009</v>
      </c>
      <c r="J23" s="11"/>
      <c r="K23" s="61"/>
      <c r="L23" s="16" t="s">
        <v>10</v>
      </c>
      <c r="M23" s="31">
        <f>M19*M8*(O17)</f>
        <v>5.9345000000000008</v>
      </c>
      <c r="N23" s="31" t="s">
        <v>16</v>
      </c>
      <c r="O23" s="31">
        <f>M19*O8*(O17)</f>
        <v>43.699500000000008</v>
      </c>
      <c r="P23" s="29" t="s">
        <v>18</v>
      </c>
      <c r="Q23" s="22"/>
      <c r="R23" s="45">
        <f>SUM(M23:P23)</f>
        <v>49.634000000000007</v>
      </c>
      <c r="S23" s="11"/>
      <c r="T23" s="11"/>
    </row>
    <row r="24" spans="1:20" ht="14" customHeight="1" x14ac:dyDescent="0.2">
      <c r="A24" s="11"/>
      <c r="B24" s="61"/>
      <c r="C24" s="19" t="s">
        <v>5</v>
      </c>
      <c r="D24" s="46">
        <f>SUM(D22:D23)</f>
        <v>472.86</v>
      </c>
      <c r="E24" s="47"/>
      <c r="F24" s="47">
        <f>SUM(F22:F23)</f>
        <v>134.76</v>
      </c>
      <c r="G24" s="48"/>
      <c r="H24" s="23"/>
      <c r="I24" s="35">
        <f>SUM(D24:G24)</f>
        <v>607.62</v>
      </c>
      <c r="J24" s="11"/>
      <c r="K24" s="61"/>
      <c r="L24" s="19" t="s">
        <v>5</v>
      </c>
      <c r="M24" s="46">
        <f>SUM(M22:M23)</f>
        <v>8.8219999999999992</v>
      </c>
      <c r="N24" s="30"/>
      <c r="O24" s="30">
        <f>SUM(O22:O23)</f>
        <v>44.277000000000008</v>
      </c>
      <c r="P24" s="32"/>
      <c r="Q24" s="34"/>
      <c r="R24" s="35">
        <f>SUM(M24:P24)</f>
        <v>53.099000000000004</v>
      </c>
      <c r="S24" s="11"/>
      <c r="T24" s="11"/>
    </row>
    <row r="25" spans="1:20" ht="14" customHeight="1" x14ac:dyDescent="0.2">
      <c r="A25" s="11"/>
      <c r="B25" s="62"/>
      <c r="C25" s="25" t="s">
        <v>12</v>
      </c>
      <c r="D25" s="36">
        <f>D22/D24</f>
        <v>0.98813602334729089</v>
      </c>
      <c r="E25" s="37" t="s">
        <v>19</v>
      </c>
      <c r="F25" s="38">
        <f>F23/F24</f>
        <v>0.30654496883348181</v>
      </c>
      <c r="G25" s="32" t="s">
        <v>20</v>
      </c>
      <c r="H25" s="23"/>
      <c r="I25" s="8"/>
      <c r="J25" s="11"/>
      <c r="K25" s="62"/>
      <c r="L25" s="25" t="s">
        <v>12</v>
      </c>
      <c r="M25" s="39">
        <f>M22/M24</f>
        <v>0.32730673316708214</v>
      </c>
      <c r="N25" s="37" t="s">
        <v>19</v>
      </c>
      <c r="O25" s="36">
        <f>O23/O24</f>
        <v>0.98695711091537364</v>
      </c>
      <c r="P25" s="32" t="s">
        <v>20</v>
      </c>
      <c r="Q25" s="34"/>
      <c r="R25" s="8"/>
      <c r="S25" s="11"/>
      <c r="T25" s="11"/>
    </row>
    <row r="26" spans="1:20" x14ac:dyDescent="0.2">
      <c r="A26" s="11"/>
      <c r="B26" s="11"/>
      <c r="C26" s="11"/>
      <c r="D26" s="11"/>
      <c r="E26" s="11"/>
      <c r="F26" s="11"/>
      <c r="G26" s="11"/>
      <c r="H26" s="11"/>
      <c r="I26" s="24"/>
      <c r="J26" s="11"/>
      <c r="K26" s="11"/>
      <c r="L26" s="11"/>
      <c r="M26" s="11"/>
      <c r="N26" s="11"/>
      <c r="O26" s="11"/>
      <c r="P26" s="11"/>
      <c r="Q26" s="11"/>
      <c r="R26" s="24"/>
      <c r="S26" s="11"/>
      <c r="T26" s="11"/>
    </row>
    <row r="27" spans="1:20" x14ac:dyDescent="0.2">
      <c r="A27" s="11"/>
      <c r="B27" s="11"/>
      <c r="C27" s="11"/>
      <c r="D27" s="11"/>
      <c r="E27" s="11"/>
      <c r="F27" s="11"/>
      <c r="G27" s="11"/>
      <c r="H27" s="11"/>
      <c r="I27" s="24"/>
      <c r="J27" s="11"/>
      <c r="K27" s="11"/>
      <c r="L27" s="11"/>
      <c r="M27" s="11"/>
      <c r="N27" s="11"/>
      <c r="O27" s="11"/>
      <c r="P27" s="11"/>
      <c r="Q27" s="11"/>
      <c r="R27" s="24"/>
      <c r="S27" s="11"/>
      <c r="T27" s="11"/>
    </row>
    <row r="28" spans="1:20" x14ac:dyDescent="0.2">
      <c r="A28" s="11"/>
      <c r="B28" s="11"/>
      <c r="C28" s="11"/>
      <c r="D28" s="11"/>
      <c r="E28" s="11"/>
      <c r="F28" s="11"/>
      <c r="G28" s="11"/>
      <c r="H28" s="11"/>
      <c r="I28" s="24"/>
      <c r="J28" s="11"/>
      <c r="K28" s="11"/>
      <c r="L28" s="11"/>
      <c r="M28" s="11"/>
      <c r="N28" s="11"/>
      <c r="O28" s="11"/>
      <c r="P28" s="11"/>
      <c r="Q28" s="11"/>
      <c r="R28" s="24"/>
      <c r="S28" s="11"/>
      <c r="T28" s="11"/>
    </row>
    <row r="29" spans="1:20" x14ac:dyDescent="0.2">
      <c r="A29" s="11"/>
      <c r="B29" s="11"/>
      <c r="C29" s="11"/>
      <c r="D29" s="11"/>
      <c r="E29" s="11"/>
      <c r="F29" s="11"/>
      <c r="G29" s="11"/>
      <c r="H29" s="11"/>
      <c r="I29" s="24"/>
      <c r="J29" s="11"/>
      <c r="K29" s="11"/>
      <c r="L29" s="11"/>
      <c r="M29" s="11"/>
      <c r="N29" s="11"/>
      <c r="O29" s="11"/>
      <c r="P29" s="11"/>
      <c r="Q29" s="11"/>
      <c r="R29" s="24"/>
      <c r="S29" s="11"/>
      <c r="T29" s="11"/>
    </row>
    <row r="30" spans="1:20" x14ac:dyDescent="0.2">
      <c r="A30" s="11"/>
      <c r="B30" s="11"/>
      <c r="C30" s="11"/>
      <c r="D30" s="11"/>
      <c r="E30" s="11"/>
      <c r="F30" s="11"/>
      <c r="G30" s="11"/>
      <c r="H30" s="11"/>
      <c r="I30" s="24"/>
      <c r="J30" s="11"/>
      <c r="K30" s="11"/>
      <c r="L30" s="11"/>
      <c r="M30" s="11"/>
      <c r="N30" s="11"/>
      <c r="O30" s="11"/>
      <c r="P30" s="11"/>
      <c r="Q30" s="11"/>
      <c r="R30" s="24"/>
      <c r="S30" s="11"/>
      <c r="T30" s="11"/>
    </row>
  </sheetData>
  <mergeCells count="38">
    <mergeCell ref="B2:B8"/>
    <mergeCell ref="D13:E13"/>
    <mergeCell ref="F13:G13"/>
    <mergeCell ref="D21:E21"/>
    <mergeCell ref="F21:G21"/>
    <mergeCell ref="C12:G12"/>
    <mergeCell ref="D9:E9"/>
    <mergeCell ref="F9:G9"/>
    <mergeCell ref="D19:E19"/>
    <mergeCell ref="F19:G19"/>
    <mergeCell ref="D11:E11"/>
    <mergeCell ref="F11:G11"/>
    <mergeCell ref="C20:G20"/>
    <mergeCell ref="B11:B17"/>
    <mergeCell ref="B19:B25"/>
    <mergeCell ref="D2:E2"/>
    <mergeCell ref="F2:G2"/>
    <mergeCell ref="C3:G3"/>
    <mergeCell ref="K2:K8"/>
    <mergeCell ref="M2:N2"/>
    <mergeCell ref="C6:G6"/>
    <mergeCell ref="O2:P2"/>
    <mergeCell ref="L3:P3"/>
    <mergeCell ref="L6:P6"/>
    <mergeCell ref="M9:N9"/>
    <mergeCell ref="O9:P9"/>
    <mergeCell ref="K11:K17"/>
    <mergeCell ref="M11:N11"/>
    <mergeCell ref="O11:P11"/>
    <mergeCell ref="L12:P12"/>
    <mergeCell ref="M13:N13"/>
    <mergeCell ref="O13:P13"/>
    <mergeCell ref="K19:K25"/>
    <mergeCell ref="M19:N19"/>
    <mergeCell ref="O19:P19"/>
    <mergeCell ref="L20:P20"/>
    <mergeCell ref="M21:N21"/>
    <mergeCell ref="O21:P21"/>
  </mergeCells>
  <pageMargins left="0.75" right="0.75" top="1" bottom="1" header="0.5" footer="0.5"/>
  <pageSetup orientation="portrait" horizontalDpi="4294967292" verticalDpi="4294967292"/>
  <ignoredErrors>
    <ignoredError sqref="I16 I24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17"/>
  <sheetViews>
    <sheetView zoomScale="140" zoomScaleNormal="140" zoomScalePageLayoutView="140" workbookViewId="0">
      <selection activeCell="H6" sqref="H6"/>
    </sheetView>
  </sheetViews>
  <sheetFormatPr baseColWidth="10" defaultRowHeight="16" x14ac:dyDescent="0.2"/>
  <cols>
    <col min="1" max="3" width="10.83203125" style="50"/>
    <col min="4" max="4" width="11.83203125" style="50" bestFit="1" customWidth="1"/>
    <col min="5" max="7" width="10.83203125" style="50"/>
    <col min="8" max="8" width="36.33203125" style="53" customWidth="1"/>
    <col min="9" max="9" width="62.6640625" style="50" customWidth="1"/>
    <col min="10" max="16384" width="10.83203125" style="50"/>
  </cols>
  <sheetData>
    <row r="3" spans="2:8" x14ac:dyDescent="0.2">
      <c r="B3" s="84" t="s">
        <v>0</v>
      </c>
      <c r="C3" s="85"/>
      <c r="D3" s="85"/>
      <c r="E3" s="85"/>
      <c r="F3" s="86"/>
      <c r="H3" s="58" t="s">
        <v>25</v>
      </c>
    </row>
    <row r="4" spans="2:8" x14ac:dyDescent="0.2">
      <c r="B4" s="51" t="s">
        <v>9</v>
      </c>
      <c r="C4" s="52">
        <v>0.89</v>
      </c>
      <c r="D4" s="51" t="s">
        <v>15</v>
      </c>
      <c r="E4" s="51">
        <v>0.11</v>
      </c>
      <c r="F4" s="51" t="s">
        <v>17</v>
      </c>
      <c r="H4" s="58"/>
    </row>
    <row r="5" spans="2:8" x14ac:dyDescent="0.2">
      <c r="B5" s="51" t="s">
        <v>10</v>
      </c>
      <c r="C5" s="51">
        <v>0.17</v>
      </c>
      <c r="D5" s="51" t="s">
        <v>16</v>
      </c>
      <c r="E5" s="51">
        <v>0.83</v>
      </c>
      <c r="F5" s="51" t="s">
        <v>18</v>
      </c>
      <c r="H5" s="58"/>
    </row>
    <row r="6" spans="2:8" x14ac:dyDescent="0.2">
      <c r="H6" s="58"/>
    </row>
    <row r="7" spans="2:8" x14ac:dyDescent="0.2">
      <c r="C7" s="57" t="s">
        <v>27</v>
      </c>
      <c r="D7" s="59">
        <v>0.25</v>
      </c>
      <c r="E7" s="50" t="s">
        <v>30</v>
      </c>
      <c r="H7" s="58" t="s">
        <v>32</v>
      </c>
    </row>
    <row r="8" spans="2:8" x14ac:dyDescent="0.2">
      <c r="B8" s="54"/>
      <c r="C8" s="56" t="s">
        <v>26</v>
      </c>
      <c r="D8" s="55">
        <f>(D7-E4)/(E5-E4)</f>
        <v>0.19444444444444448</v>
      </c>
      <c r="E8" s="50" t="s">
        <v>31</v>
      </c>
      <c r="H8" s="58"/>
    </row>
    <row r="9" spans="2:8" x14ac:dyDescent="0.2">
      <c r="H9" s="58"/>
    </row>
    <row r="10" spans="2:8" x14ac:dyDescent="0.2">
      <c r="H10" s="58"/>
    </row>
    <row r="11" spans="2:8" x14ac:dyDescent="0.2">
      <c r="C11" s="56" t="s">
        <v>29</v>
      </c>
      <c r="D11" s="59">
        <v>0.56000000000000005</v>
      </c>
      <c r="E11" s="50" t="s">
        <v>30</v>
      </c>
      <c r="H11" s="58"/>
    </row>
    <row r="12" spans="2:8" x14ac:dyDescent="0.2">
      <c r="C12" s="50" t="s">
        <v>28</v>
      </c>
      <c r="D12" s="55">
        <f>(E5*D11)+(E4*(1-D11))</f>
        <v>0.51319999999999999</v>
      </c>
      <c r="E12" s="50" t="s">
        <v>31</v>
      </c>
      <c r="H12" s="58"/>
    </row>
    <row r="13" spans="2:8" x14ac:dyDescent="0.2">
      <c r="H13" s="58"/>
    </row>
    <row r="14" spans="2:8" x14ac:dyDescent="0.2">
      <c r="H14" s="58"/>
    </row>
    <row r="15" spans="2:8" x14ac:dyDescent="0.2">
      <c r="H15" s="58"/>
    </row>
    <row r="16" spans="2:8" x14ac:dyDescent="0.2">
      <c r="H16" s="58"/>
    </row>
    <row r="17" spans="8:8" x14ac:dyDescent="0.2">
      <c r="H17" s="58"/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ODT</vt:lpstr>
      <vt:lpstr>BRG</vt:lpstr>
    </vt:vector>
  </TitlesOfParts>
  <Company>Converus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Valencia Backhoff</dc:creator>
  <cp:lastModifiedBy>Russ Warner</cp:lastModifiedBy>
  <dcterms:created xsi:type="dcterms:W3CDTF">2016-01-28T00:13:12Z</dcterms:created>
  <dcterms:modified xsi:type="dcterms:W3CDTF">2018-08-29T17:47:03Z</dcterms:modified>
</cp:coreProperties>
</file>